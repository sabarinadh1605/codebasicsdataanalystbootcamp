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r\Downloads\Data Analytics Bootcamp\Excel\"/>
    </mc:Choice>
  </mc:AlternateContent>
  <bookViews>
    <workbookView xWindow="0" yWindow="0" windowWidth="28800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9" i="1" l="1"/>
  <c r="C29" i="1"/>
  <c r="D29" i="1"/>
  <c r="E29" i="1"/>
  <c r="B29" i="1"/>
  <c r="N27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E27" i="1"/>
  <c r="D27" i="1"/>
  <c r="C27" i="1"/>
  <c r="B27" i="1"/>
  <c r="E10" i="1"/>
  <c r="D10" i="1"/>
  <c r="C10" i="1"/>
  <c r="B10" i="1"/>
  <c r="N6" i="1"/>
  <c r="N7" i="1"/>
  <c r="N8" i="1"/>
  <c r="N9" i="1"/>
  <c r="N10" i="1" l="1"/>
</calcChain>
</file>

<file path=xl/sharedStrings.xml><?xml version="1.0" encoding="utf-8"?>
<sst xmlns="http://schemas.openxmlformats.org/spreadsheetml/2006/main" count="52" uniqueCount="38">
  <si>
    <t>Monthly Savings Target</t>
  </si>
  <si>
    <t>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</si>
  <si>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</si>
  <si>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</si>
  <si>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</si>
  <si>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</si>
  <si>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</si>
  <si>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</si>
  <si>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</si>
  <si>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</si>
  <si>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</si>
  <si>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</si>
  <si>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</si>
  <si>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</si>
  <si>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To Date</t>
  </si>
  <si>
    <t>Personal Income, Expense Tracker</t>
  </si>
  <si>
    <t>Income</t>
  </si>
  <si>
    <t>Salary</t>
  </si>
  <si>
    <t>Rental Income</t>
  </si>
  <si>
    <t>Dividend, Stock Gain</t>
  </si>
  <si>
    <t>Freelancing</t>
  </si>
  <si>
    <t>Total Income</t>
  </si>
  <si>
    <t>Expenses</t>
  </si>
  <si>
    <t>Housing</t>
  </si>
  <si>
    <t>Mortgage or Rent</t>
  </si>
  <si>
    <t>Phone</t>
  </si>
  <si>
    <t>Electricity</t>
  </si>
  <si>
    <t>Gas</t>
  </si>
  <si>
    <t>Other Maintenance</t>
  </si>
  <si>
    <t>Food</t>
  </si>
  <si>
    <t>Groceries</t>
  </si>
  <si>
    <t>Dining Out</t>
  </si>
  <si>
    <t>Transportation</t>
  </si>
  <si>
    <t>Fuel Expenses</t>
  </si>
  <si>
    <t>Bus/Train/Taxi/Flight</t>
  </si>
  <si>
    <t>Vehicle Maintenance</t>
  </si>
  <si>
    <t>Total Expenses</t>
  </si>
  <si>
    <t>Savings/Deficit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</si>
</sst>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74999237037263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5" borderId="0" xfId="0" applyFont="1" applyFill="1" applyAlignment="1">
      <alignment horizontal="center"/>
    </xf>
    <xf numFmtId="0" fontId="1" fillId="6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6" borderId="7" xfId="0" applyFont="1" applyFill="1" applyBorder="1"/>
    <xf numFmtId="0" fontId="2" fillId="4" borderId="10" xfId="0" applyFont="1" applyFill="1" applyBorder="1"/>
    <xf numFmtId="0" fontId="0" fillId="4" borderId="0" xfId="0" applyFill="1"/>
    <xf numFmtId="0" fontId="1" fillId="6" borderId="8" xfId="0" applyFont="1" applyFill="1" applyBorder="1"/>
    <xf numFmtId="0" fontId="1" fillId="6" borderId="9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3" borderId="0" xfId="0" applyFont="1" applyFill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2" fillId="3" borderId="0" xfId="0" applyFont="1" applyFill="1" applyAlignment="1">
      <alignment horizontal="left"/>
    </xf>
    <xf numFmtId="0" fontId="2" fillId="4" borderId="0" xfId="0" applyFont="1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2" tint="-0.749992370372631"/>
        </patternFill>
      </fill>
    </dxf>
    <dxf>
      <border outline="0">
        <bottom style="thin">
          <color theme="1"/>
        </bottom>
      </border>
    </dxf>
    <dxf>
      <border outline="0">
        <top style="medium">
          <color indexed="64"/>
        </top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2" tint="-0.749992370372631"/>
        </patternFill>
      </fill>
    </dxf>
    <dxf>
      <border outline="0"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5:N10" totalsRowCount="1" headerRowDxfId="8" tableBorderDxfId="9" totalsRowBorderDxfId="1">
  <autoFilter ref="A5:N9"/>
  <tableColumns count="14">
    <tableColumn id="1" name="Item" totalsRowLabel="Total Income"/>
    <tableColumn id="2" name="Jan" totalsRowFunction="sum"/>
    <tableColumn id="3" name="Feb" totalsRowFunction="sum"/>
    <tableColumn id="4" name="Mar" totalsRowFunction="sum"/>
    <tableColumn id="5" name="Apr" totalsRowFunction="sum"/>
    <tableColumn id="6" name="May"/>
    <tableColumn id="7" name="Jun"/>
    <tableColumn id="8" name="Jul"/>
    <tableColumn id="9" name="Aug"/>
    <tableColumn id="10" name="Sep"/>
    <tableColumn id="11" name="Oct"/>
    <tableColumn id="12" name="Nov"/>
    <tableColumn id="13" name="Dec"/>
    <tableColumn id="14" name="Year To Date" totalsRowFunction="sum" dataDxfId="7">
      <calculatedColumnFormula>SUM(Table1[[#This Row],[Jan]:[Dec]])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3:N27" totalsRowCount="1" headerRowDxfId="4" headerRowBorderDxfId="5" tableBorderDxfId="6" totalsRowBorderDxfId="2">
  <autoFilter ref="A13:N26"/>
  <tableColumns count="14">
    <tableColumn id="1" name="Item" totalsRowLabel="Total Expenses"/>
    <tableColumn id="2" name="Jan" totalsRowFunction="sum"/>
    <tableColumn id="3" name="Feb" totalsRowFunction="sum"/>
    <tableColumn id="4" name="Mar" totalsRowFunction="sum"/>
    <tableColumn id="5" name="Apr" totalsRowFunction="sum"/>
    <tableColumn id="6" name="May"/>
    <tableColumn id="7" name="Jun"/>
    <tableColumn id="8" name="Jul"/>
    <tableColumn id="9" name="Aug"/>
    <tableColumn id="10" name="Sep"/>
    <tableColumn id="11" name="Oct"/>
    <tableColumn id="12" name="Nov"/>
    <tableColumn id="13" name="Dec"/>
    <tableColumn id="14" name="Year To Date" totalsRowFunction="sum" dataDxfId="3">
      <calculatedColumnFormula>SUM(B14,C14,D14,E14)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="145" zoomScaleNormal="145" workbookViewId="0">
      <selection activeCell="P18" sqref="P18"/>
    </sheetView>
  </sheetViews>
  <sheetFormatPr defaultRowHeight="15" x14ac:dyDescent="0.25"/>
  <cols>
    <col min="1" max="1" width="19" customWidth="1"/>
    <col min="14" max="14" width="13" customWidth="1"/>
  </cols>
  <sheetData>
    <row r="1" spans="1:14" x14ac:dyDescent="0.25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1" t="s">
        <v>0</v>
      </c>
      <c r="B2" s="21"/>
      <c r="C2" s="21"/>
      <c r="D2" s="21"/>
      <c r="E2" s="17">
        <v>40000</v>
      </c>
    </row>
    <row r="3" spans="1:14" ht="15.75" thickBot="1" x14ac:dyDescent="0.3"/>
    <row r="4" spans="1:14" x14ac:dyDescent="0.25">
      <c r="A4" s="6" t="s">
        <v>16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</row>
    <row r="5" spans="1:14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</row>
    <row r="6" spans="1:14" x14ac:dyDescent="0.25">
      <c r="A6" t="s">
        <v>17</v>
      </c>
      <c r="B6">
        <v>60000</v>
      </c>
      <c r="C6">
        <v>60000</v>
      </c>
      <c r="D6">
        <v>60000</v>
      </c>
      <c r="E6">
        <v>75000</v>
      </c>
      <c r="N6">
        <f>SUM(Table1[[#This Row],[Jan]:[Dec]])</f>
        <v>255000</v>
      </c>
    </row>
    <row r="7" spans="1:14" x14ac:dyDescent="0.25">
      <c r="A7" t="s">
        <v>18</v>
      </c>
      <c r="B7">
        <v>14000</v>
      </c>
      <c r="C7">
        <v>14000</v>
      </c>
      <c r="D7">
        <v>0</v>
      </c>
      <c r="E7">
        <v>15000</v>
      </c>
      <c r="N7">
        <f>SUM(Table1[[#This Row],[Jan]:[Dec]])</f>
        <v>43000</v>
      </c>
    </row>
    <row r="8" spans="1:14" x14ac:dyDescent="0.25">
      <c r="A8" t="s">
        <v>19</v>
      </c>
      <c r="B8">
        <v>2000</v>
      </c>
      <c r="C8">
        <v>600</v>
      </c>
      <c r="D8">
        <v>1400</v>
      </c>
      <c r="E8">
        <v>0</v>
      </c>
      <c r="N8">
        <f>SUM(Table1[[#This Row],[Jan]:[Dec]])</f>
        <v>4000</v>
      </c>
    </row>
    <row r="9" spans="1:14" ht="15.75" thickBot="1" x14ac:dyDescent="0.3">
      <c r="A9" t="s">
        <v>20</v>
      </c>
      <c r="B9">
        <v>0</v>
      </c>
      <c r="C9">
        <v>0</v>
      </c>
      <c r="D9">
        <v>0</v>
      </c>
      <c r="E9">
        <v>0</v>
      </c>
      <c r="N9">
        <f>SUM(Table1[[#This Row],[Jan]:[Dec]])</f>
        <v>0</v>
      </c>
    </row>
    <row r="10" spans="1:14" ht="15.75" thickBot="1" x14ac:dyDescent="0.3">
      <c r="A10" s="14" t="s">
        <v>21</v>
      </c>
      <c r="B10" s="15">
        <f>SUBTOTAL(109,Table1[Jan])</f>
        <v>76000</v>
      </c>
      <c r="C10" s="15">
        <f>SUBTOTAL(109,Table1[Feb])</f>
        <v>74600</v>
      </c>
      <c r="D10" s="15">
        <f>SUBTOTAL(109,Table1[Mar])</f>
        <v>61400</v>
      </c>
      <c r="E10" s="15">
        <f>SUBTOTAL(109,Table1[Apr])</f>
        <v>90000</v>
      </c>
      <c r="F10" s="15"/>
      <c r="G10" s="15"/>
      <c r="H10" s="15"/>
      <c r="I10" s="15"/>
      <c r="J10" s="15"/>
      <c r="K10" s="15"/>
      <c r="L10" s="15"/>
      <c r="M10" s="15"/>
      <c r="N10" s="16">
        <f>SUBTOTAL(109,Table1[Year To Date])</f>
        <v>302000</v>
      </c>
    </row>
    <row r="11" spans="1:14" ht="15.75" thickBot="1" x14ac:dyDescent="0.3"/>
    <row r="12" spans="1:14" ht="15.75" thickBot="1" x14ac:dyDescent="0.3">
      <c r="A12" s="3" t="s">
        <v>22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</row>
    <row r="13" spans="1:14" x14ac:dyDescent="0.25">
      <c r="A13" s="12" t="s">
        <v>1</v>
      </c>
      <c r="B13" s="9" t="s">
        <v>2</v>
      </c>
      <c r="C13" s="9" t="s">
        <v>3</v>
      </c>
      <c r="D13" s="9" t="s">
        <v>4</v>
      </c>
      <c r="E13" s="9" t="s">
        <v>5</v>
      </c>
      <c r="F13" s="9" t="s">
        <v>6</v>
      </c>
      <c r="G13" s="9" t="s">
        <v>7</v>
      </c>
      <c r="H13" s="9" t="s">
        <v>8</v>
      </c>
      <c r="I13" s="9" t="s">
        <v>9</v>
      </c>
      <c r="J13" s="9" t="s">
        <v>10</v>
      </c>
      <c r="K13" s="9" t="s">
        <v>11</v>
      </c>
      <c r="L13" s="9" t="s">
        <v>12</v>
      </c>
      <c r="M13" s="9" t="s">
        <v>13</v>
      </c>
      <c r="N13" s="13" t="s">
        <v>14</v>
      </c>
    </row>
    <row r="14" spans="1:14" x14ac:dyDescent="0.25">
      <c r="A14" s="10" t="s">
        <v>23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>
        <f t="shared" ref="N14:N26" si="0">SUM(B14,C14,D14,E14)</f>
        <v>0</v>
      </c>
    </row>
    <row r="15" spans="1:14" x14ac:dyDescent="0.25">
      <c r="A15" t="s">
        <v>24</v>
      </c>
      <c r="B15">
        <v>23000</v>
      </c>
      <c r="C15">
        <v>23000</v>
      </c>
      <c r="D15">
        <v>23000</v>
      </c>
      <c r="E15">
        <v>22500</v>
      </c>
      <c r="N15">
        <f t="shared" si="0"/>
        <v>91500</v>
      </c>
    </row>
    <row r="16" spans="1:14" x14ac:dyDescent="0.25">
      <c r="A16" t="s">
        <v>25</v>
      </c>
      <c r="B16">
        <v>400</v>
      </c>
      <c r="C16">
        <v>400</v>
      </c>
      <c r="D16">
        <v>400</v>
      </c>
      <c r="E16">
        <v>400</v>
      </c>
      <c r="N16">
        <f t="shared" si="0"/>
        <v>1600</v>
      </c>
    </row>
    <row r="17" spans="1:14" x14ac:dyDescent="0.25">
      <c r="A17" t="s">
        <v>26</v>
      </c>
      <c r="B17">
        <v>1700</v>
      </c>
      <c r="C17">
        <v>1600</v>
      </c>
      <c r="D17">
        <v>2300</v>
      </c>
      <c r="E17">
        <v>2800</v>
      </c>
      <c r="N17">
        <f t="shared" si="0"/>
        <v>8400</v>
      </c>
    </row>
    <row r="18" spans="1:14" x14ac:dyDescent="0.25">
      <c r="A18" t="s">
        <v>27</v>
      </c>
      <c r="B18">
        <v>800</v>
      </c>
      <c r="C18">
        <v>950</v>
      </c>
      <c r="D18">
        <v>940</v>
      </c>
      <c r="E18">
        <v>1020</v>
      </c>
      <c r="N18">
        <f t="shared" si="0"/>
        <v>3710</v>
      </c>
    </row>
    <row r="19" spans="1:14" x14ac:dyDescent="0.25">
      <c r="A19" t="s">
        <v>28</v>
      </c>
      <c r="B19">
        <v>600</v>
      </c>
      <c r="C19">
        <v>230</v>
      </c>
      <c r="D19">
        <v>2350</v>
      </c>
      <c r="E19">
        <v>1540</v>
      </c>
      <c r="N19">
        <f t="shared" si="0"/>
        <v>4720</v>
      </c>
    </row>
    <row r="20" spans="1:14" x14ac:dyDescent="0.25">
      <c r="A20" s="22" t="s">
        <v>29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>
        <f t="shared" si="0"/>
        <v>0</v>
      </c>
    </row>
    <row r="21" spans="1:14" x14ac:dyDescent="0.25">
      <c r="A21" t="s">
        <v>30</v>
      </c>
      <c r="B21">
        <v>200</v>
      </c>
      <c r="C21">
        <v>180</v>
      </c>
      <c r="D21">
        <v>160</v>
      </c>
      <c r="E21">
        <v>210</v>
      </c>
      <c r="N21">
        <f t="shared" si="0"/>
        <v>750</v>
      </c>
    </row>
    <row r="22" spans="1:14" x14ac:dyDescent="0.25">
      <c r="A22" t="s">
        <v>31</v>
      </c>
      <c r="B22">
        <v>50</v>
      </c>
      <c r="C22">
        <v>45</v>
      </c>
      <c r="D22">
        <v>37</v>
      </c>
      <c r="E22">
        <v>0</v>
      </c>
      <c r="N22">
        <f t="shared" si="0"/>
        <v>132</v>
      </c>
    </row>
    <row r="23" spans="1:14" x14ac:dyDescent="0.25">
      <c r="A23" s="22" t="s">
        <v>32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>
        <f t="shared" si="0"/>
        <v>0</v>
      </c>
    </row>
    <row r="24" spans="1:14" x14ac:dyDescent="0.25">
      <c r="A24" t="s">
        <v>33</v>
      </c>
      <c r="B24">
        <v>125</v>
      </c>
      <c r="C24">
        <v>100</v>
      </c>
      <c r="D24">
        <v>67</v>
      </c>
      <c r="E24">
        <v>140</v>
      </c>
      <c r="N24">
        <f t="shared" si="0"/>
        <v>432</v>
      </c>
    </row>
    <row r="25" spans="1:14" x14ac:dyDescent="0.25">
      <c r="A25" t="s">
        <v>34</v>
      </c>
      <c r="B25">
        <v>10</v>
      </c>
      <c r="C25">
        <v>5</v>
      </c>
      <c r="D25">
        <v>9</v>
      </c>
      <c r="E25">
        <v>0</v>
      </c>
      <c r="N25">
        <f t="shared" si="0"/>
        <v>24</v>
      </c>
    </row>
    <row r="26" spans="1:14" ht="15.75" thickBot="1" x14ac:dyDescent="0.3">
      <c r="A26" t="s">
        <v>35</v>
      </c>
      <c r="B26">
        <v>20</v>
      </c>
      <c r="C26">
        <v>45</v>
      </c>
      <c r="D26">
        <v>67</v>
      </c>
      <c r="E26">
        <v>120</v>
      </c>
      <c r="N26">
        <f t="shared" si="0"/>
        <v>252</v>
      </c>
    </row>
    <row r="27" spans="1:14" ht="15.75" thickBot="1" x14ac:dyDescent="0.3">
      <c r="A27" s="14" t="s">
        <v>36</v>
      </c>
      <c r="B27" s="15">
        <f>SUBTOTAL(109,Table3[Jan])</f>
        <v>26905</v>
      </c>
      <c r="C27" s="15">
        <f>SUBTOTAL(109,Table3[Feb])</f>
        <v>26555</v>
      </c>
      <c r="D27" s="15">
        <f>SUBTOTAL(109,Table3[Mar])</f>
        <v>29330</v>
      </c>
      <c r="E27" s="15">
        <f>SUBTOTAL(109,Table3[Apr])</f>
        <v>28730</v>
      </c>
      <c r="F27" s="15"/>
      <c r="G27" s="15"/>
      <c r="H27" s="15"/>
      <c r="I27" s="15"/>
      <c r="J27" s="15"/>
      <c r="K27" s="15"/>
      <c r="L27" s="15"/>
      <c r="M27" s="15"/>
      <c r="N27" s="16">
        <f>SUBTOTAL(109,Table3[Year To Date])</f>
        <v>111520</v>
      </c>
    </row>
    <row r="28" spans="1:14" ht="15.75" thickBot="1" x14ac:dyDescent="0.3"/>
    <row r="29" spans="1:14" ht="15.75" thickBot="1" x14ac:dyDescent="0.3">
      <c r="A29" s="18" t="s">
        <v>37</v>
      </c>
      <c r="B29" s="19">
        <f>Table1[[#Totals],[Jan]]-Table3[[#Totals],[Jan]]</f>
        <v>49095</v>
      </c>
      <c r="C29" s="19">
        <f>Table1[[#Totals],[Feb]]-Table3[[#Totals],[Feb]]</f>
        <v>48045</v>
      </c>
      <c r="D29" s="19">
        <f>Table1[[#Totals],[Mar]]-Table3[[#Totals],[Mar]]</f>
        <v>32070</v>
      </c>
      <c r="E29" s="19">
        <f>Table1[[#Totals],[Apr]]-Table3[[#Totals],[Apr]]</f>
        <v>61270</v>
      </c>
      <c r="F29" s="19"/>
      <c r="G29" s="19"/>
      <c r="H29" s="19"/>
      <c r="I29" s="19"/>
      <c r="J29" s="19"/>
      <c r="K29" s="19"/>
      <c r="L29" s="19"/>
      <c r="M29" s="19"/>
      <c r="N29" s="20">
        <f>Table1[[#Totals],[Year To Date]]-Table3[[#Totals],[Year To Date]]</f>
        <v>190480</v>
      </c>
    </row>
  </sheetData>
  <mergeCells count="4">
    <mergeCell ref="A2:D2"/>
    <mergeCell ref="A1:N1"/>
    <mergeCell ref="A4:N4"/>
    <mergeCell ref="A12:N12"/>
  </mergeCells>
  <conditionalFormatting sqref="B29:E29">
    <cfRule type="cellIs" dxfId="0" priority="1" operator="lessThan">
      <formula>46670</formula>
    </cfRule>
  </conditionalFormatting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Sabarinadh M</dc:creator>
  <cp:lastModifiedBy>Sabarinadh M</cp:lastModifiedBy>
  <dcterms:created xsi:type="dcterms:W3CDTF">2026-04-12T07:38:36Z</dcterms:created>
  <dcterms:modified xsi:type="dcterms:W3CDTF">2026-04-12T07:58:55Z</dcterms:modified>
</cp:coreProperties>
</file>